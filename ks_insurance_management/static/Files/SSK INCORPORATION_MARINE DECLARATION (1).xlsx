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C2123C5E-5CEF-4249-A6E2-551D374C7ECB}" xr6:coauthVersionLast="47" xr6:coauthVersionMax="47" xr10:uidLastSave="{00000000-0000-0000-0000-000000000000}"/>
  <bookViews>
    <workbookView xWindow="-120" yWindow="-120" windowWidth="29040" windowHeight="15720" xr2:uid="{401FA805-F6D2-428B-9F1C-CA69DB17AF89}"/>
  </bookViews>
  <sheets>
    <sheet name="Summary" sheetId="1" r:id="rId1"/>
    <sheet name="April'25" sheetId="3" r:id="rId2"/>
    <sheet name="May'25" sheetId="4" r:id="rId3"/>
    <sheet name="June'25" sheetId="2" r:id="rId4"/>
  </sheets>
  <definedNames>
    <definedName name="_xlnm._FilterDatabase" localSheetId="3" hidden="1">'June''25'!#REF!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9" i="1" l="1"/>
  <c r="E18" i="1"/>
  <c r="E17" i="1" l="1"/>
  <c r="E16" i="1"/>
  <c r="E14" i="1"/>
  <c r="E15" i="1" s="1"/>
  <c r="E13" i="1"/>
  <c r="E12" i="1"/>
  <c r="E11" i="1"/>
  <c r="E10" i="1"/>
  <c r="E8" i="1"/>
  <c r="J10" i="2" l="1"/>
</calcChain>
</file>

<file path=xl/sharedStrings.xml><?xml version="1.0" encoding="utf-8"?>
<sst xmlns="http://schemas.openxmlformats.org/spreadsheetml/2006/main" count="66" uniqueCount="34">
  <si>
    <t>SHARAV LANDMARKS LLP-01.06.25-30.06.2025</t>
  </si>
  <si>
    <t>S.No.</t>
  </si>
  <si>
    <t>Origin Location</t>
  </si>
  <si>
    <t>Destination location</t>
  </si>
  <si>
    <t>Cargo Description</t>
  </si>
  <si>
    <t>Mode of Trasport (Road, Rail, Courier)</t>
  </si>
  <si>
    <t>Voucher type</t>
  </si>
  <si>
    <t xml:space="preserve">    INVOICE NO.</t>
  </si>
  <si>
    <t xml:space="preserve"> INVOICE DATE</t>
  </si>
  <si>
    <t>Transit Start date</t>
  </si>
  <si>
    <t>Invoice Amount</t>
  </si>
  <si>
    <t>PUNE</t>
  </si>
  <si>
    <t>SELF</t>
  </si>
  <si>
    <t>ROAD</t>
  </si>
  <si>
    <t>Sales</t>
  </si>
  <si>
    <t>SRLLPS/25/1</t>
  </si>
  <si>
    <t>SRLLPS/25/2</t>
  </si>
  <si>
    <t>SRLLPS/25/7</t>
  </si>
  <si>
    <t>SRLLPS/25/8</t>
  </si>
  <si>
    <t>SRLLPS/25/9</t>
  </si>
  <si>
    <t>SRLLPS/25/10</t>
  </si>
  <si>
    <t>SRLLPS/25/11</t>
  </si>
  <si>
    <t>Total</t>
  </si>
  <si>
    <t>NIL</t>
  </si>
  <si>
    <t xml:space="preserve">Summary of utilisation </t>
  </si>
  <si>
    <t>Month</t>
  </si>
  <si>
    <t>Marine Declaration Amount</t>
  </si>
  <si>
    <t>Balance Sum Insured</t>
  </si>
  <si>
    <t>Initla Sum Insured</t>
  </si>
  <si>
    <t>Insured Name:</t>
  </si>
  <si>
    <t>Policy No.</t>
  </si>
  <si>
    <t>Enhancement</t>
  </si>
  <si>
    <t>SSK IINCORPORATION</t>
  </si>
  <si>
    <t>3414-200201-25-1000005-00-000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</si>
</sst>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(* #,##0_);_(* \(#,##0\);_(* &quot;-&quot;??_);_(@_)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333333"/>
      <name val="Aptos Narrow"/>
      <family val="2"/>
      <scheme val="minor"/>
    </font>
    <font>
      <b/>
      <u/>
      <sz val="10"/>
      <color theme="1"/>
      <name val="Book Antiqua"/>
      <family val="1"/>
    </font>
    <font>
      <sz val="10"/>
      <color theme="1"/>
      <name val="Book Antiqua"/>
      <family val="1"/>
    </font>
    <font>
      <b/>
      <sz val="10"/>
      <color theme="1"/>
      <name val="Book Antiqua"/>
      <family val="1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32">
    <xf numFmtId="0" fontId="0" fillId="0" borderId="0" xfId="0"/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165" fontId="2" fillId="0" borderId="4" xfId="1" applyNumberFormat="1" applyFont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 wrapText="1"/>
    </xf>
    <xf numFmtId="165" fontId="2" fillId="2" borderId="4" xfId="1" applyNumberFormat="1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15" fontId="2" fillId="0" borderId="4" xfId="0" applyNumberFormat="1" applyFont="1" applyBorder="1" applyAlignment="1">
      <alignment horizontal="center" vertical="center"/>
    </xf>
    <xf numFmtId="165" fontId="2" fillId="0" borderId="5" xfId="1" applyNumberFormat="1" applyFont="1" applyBorder="1" applyAlignment="1">
      <alignment horizontal="center" vertical="center"/>
    </xf>
    <xf numFmtId="165" fontId="2" fillId="0" borderId="6" xfId="1" applyNumberFormat="1" applyFont="1" applyBorder="1" applyAlignment="1">
      <alignment horizontal="center" vertical="center"/>
    </xf>
    <xf numFmtId="165" fontId="2" fillId="0" borderId="7" xfId="1" applyNumberFormat="1" applyFont="1" applyBorder="1" applyAlignment="1">
      <alignment horizontal="center" vertical="center"/>
    </xf>
    <xf numFmtId="0" fontId="4" fillId="0" borderId="0" xfId="0" applyFont="1"/>
    <xf numFmtId="0" fontId="5" fillId="0" borderId="0" xfId="0" applyFont="1" applyAlignment="1">
      <alignment horizontal="left"/>
    </xf>
    <xf numFmtId="165" fontId="5" fillId="0" borderId="0" xfId="1" applyNumberFormat="1" applyFont="1" applyAlignment="1">
      <alignment horizontal="left"/>
    </xf>
    <xf numFmtId="17" fontId="5" fillId="0" borderId="4" xfId="0" applyNumberFormat="1" applyFont="1" applyBorder="1" applyAlignment="1">
      <alignment horizontal="left" vertical="center"/>
    </xf>
    <xf numFmtId="165" fontId="5" fillId="0" borderId="4" xfId="1" applyNumberFormat="1" applyFont="1" applyBorder="1" applyAlignment="1">
      <alignment horizontal="left" vertical="center"/>
    </xf>
    <xf numFmtId="0" fontId="6" fillId="3" borderId="4" xfId="0" applyFont="1" applyFill="1" applyBorder="1" applyAlignment="1">
      <alignment horizontal="left" vertical="center" wrapText="1"/>
    </xf>
    <xf numFmtId="165" fontId="6" fillId="3" borderId="4" xfId="1" applyNumberFormat="1" applyFont="1" applyFill="1" applyBorder="1" applyAlignment="1">
      <alignment horizontal="center" vertical="center" wrapText="1"/>
    </xf>
    <xf numFmtId="17" fontId="6" fillId="0" borderId="4" xfId="0" applyNumberFormat="1" applyFont="1" applyBorder="1" applyAlignment="1">
      <alignment horizontal="left"/>
    </xf>
    <xf numFmtId="165" fontId="6" fillId="0" borderId="4" xfId="1" applyNumberFormat="1" applyFont="1" applyBorder="1" applyAlignment="1">
      <alignment horizontal="right"/>
    </xf>
    <xf numFmtId="165" fontId="6" fillId="0" borderId="4" xfId="1" applyNumberFormat="1" applyFont="1" applyBorder="1" applyAlignment="1">
      <alignment horizontal="left"/>
    </xf>
    <xf numFmtId="17" fontId="5" fillId="0" borderId="4" xfId="0" applyNumberFormat="1" applyFont="1" applyBorder="1" applyAlignment="1">
      <alignment horizontal="left"/>
    </xf>
    <xf numFmtId="165" fontId="5" fillId="0" borderId="4" xfId="1" applyNumberFormat="1" applyFont="1" applyBorder="1" applyAlignment="1">
      <alignment horizontal="left"/>
    </xf>
    <xf numFmtId="165" fontId="5" fillId="0" borderId="4" xfId="1" applyNumberFormat="1" applyFont="1" applyBorder="1" applyAlignment="1">
      <alignment horizontal="right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</cellXfs>
  <cellStyles count="2">
    <cellStyle name="Comma 2" xfId="1" xr:uid="{F10DF266-00DE-4CA7-87B2-4D770E592D87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6039C2-3CFB-41CF-BFC3-B6D88A53F8CA}">
  <dimension ref="B2:E20"/>
  <sheetViews>
    <sheetView tabSelected="1" topLeftCell="A3" workbookViewId="0">
      <selection activeCell="B20" sqref="B20"/>
    </sheetView>
  </sheetViews>
  <sheetFormatPr defaultRowHeight="15" x14ac:dyDescent="0.25"/>
  <cols>
    <col min="2" max="2" width="15.140625" customWidth="1"/>
    <col min="3" max="3" width="16.42578125" bestFit="1" customWidth="1"/>
    <col min="4" max="4" width="13.5703125" customWidth="1"/>
    <col min="5" max="5" width="17.28515625" customWidth="1"/>
  </cols>
  <sheetData>
    <row r="2" spans="2:5" ht="15.75" x14ac:dyDescent="0.3">
      <c r="B2" s="12" t="s">
        <v>24</v>
      </c>
      <c r="C2" s="13"/>
      <c r="D2" s="13"/>
      <c r="E2" s="14"/>
    </row>
    <row r="3" spans="2:5" x14ac:dyDescent="0.25">
      <c r="B3" s="13"/>
      <c r="C3" s="13"/>
      <c r="D3" s="13"/>
      <c r="E3" s="14"/>
    </row>
    <row r="4" spans="2:5" x14ac:dyDescent="0.25">
      <c r="B4" s="15" t="s">
        <v>29</v>
      </c>
      <c r="C4" s="25" t="s">
        <v>32</v>
      </c>
      <c r="D4" s="26"/>
      <c r="E4" s="16"/>
    </row>
    <row r="5" spans="2:5" x14ac:dyDescent="0.25">
      <c r="B5" s="15" t="s">
        <v>30</v>
      </c>
      <c r="C5" s="25" t="s">
        <v>33</v>
      </c>
      <c r="D5" s="26"/>
      <c r="E5" s="16"/>
    </row>
    <row r="6" spans="2:5" ht="45" x14ac:dyDescent="0.25">
      <c r="B6" s="17" t="s">
        <v>25</v>
      </c>
      <c r="C6" s="18" t="s">
        <v>26</v>
      </c>
      <c r="D6" s="18" t="s">
        <v>31</v>
      </c>
      <c r="E6" s="18" t="s">
        <v>27</v>
      </c>
    </row>
    <row r="7" spans="2:5" ht="15.75" x14ac:dyDescent="0.3">
      <c r="B7" s="19" t="s">
        <v>28</v>
      </c>
      <c r="C7" s="20"/>
      <c r="D7" s="20"/>
      <c r="E7" s="21">
        <v>1000000000</v>
      </c>
    </row>
    <row r="8" spans="2:5" ht="15.75" x14ac:dyDescent="0.3">
      <c r="B8" s="22">
        <v>45778</v>
      </c>
      <c r="C8" s="23">
        <v>685791888</v>
      </c>
      <c r="D8" s="23"/>
      <c r="E8" s="21">
        <f>E7-C8</f>
        <v>314208112</v>
      </c>
    </row>
    <row r="9" spans="2:5" x14ac:dyDescent="0.25">
      <c r="B9" s="22">
        <v>45809</v>
      </c>
      <c r="C9" s="23"/>
      <c r="D9" s="23">
        <v>1000000000</v>
      </c>
      <c r="E9" s="23"/>
    </row>
    <row r="10" spans="2:5" ht="15.75" x14ac:dyDescent="0.3">
      <c r="B10" s="22">
        <v>45809</v>
      </c>
      <c r="C10" s="23">
        <v>170490701</v>
      </c>
      <c r="D10" s="23"/>
      <c r="E10" s="21">
        <f>E8+D9-C10</f>
        <v>1143717411</v>
      </c>
    </row>
    <row r="11" spans="2:5" ht="15.75" x14ac:dyDescent="0.3">
      <c r="B11" s="22">
        <v>45839</v>
      </c>
      <c r="C11" s="23">
        <v>92371616</v>
      </c>
      <c r="D11" s="23"/>
      <c r="E11" s="21">
        <f>E10-C11</f>
        <v>1051345795</v>
      </c>
    </row>
    <row r="12" spans="2:5" x14ac:dyDescent="0.25">
      <c r="B12" s="22">
        <v>45870</v>
      </c>
      <c r="C12" s="24"/>
      <c r="D12" s="24">
        <v>1000000000</v>
      </c>
      <c r="E12" s="23">
        <f>E11+D12</f>
        <v>2051345795</v>
      </c>
    </row>
    <row r="13" spans="2:5" ht="15.75" x14ac:dyDescent="0.3">
      <c r="B13" s="22">
        <v>45870</v>
      </c>
      <c r="C13" s="24">
        <v>688075594</v>
      </c>
      <c r="D13" s="24"/>
      <c r="E13" s="21">
        <f>E12-C13</f>
        <v>1363270201</v>
      </c>
    </row>
    <row r="14" spans="2:5" x14ac:dyDescent="0.25">
      <c r="B14" s="22">
        <v>45901</v>
      </c>
      <c r="C14" s="24"/>
      <c r="D14" s="24">
        <v>2000000000</v>
      </c>
      <c r="E14" s="23">
        <f>E13+D14</f>
        <v>3363270201</v>
      </c>
    </row>
    <row r="15" spans="2:5" ht="15.75" x14ac:dyDescent="0.3">
      <c r="B15" s="22">
        <v>45901</v>
      </c>
      <c r="C15" s="24">
        <v>1938481820</v>
      </c>
      <c r="D15" s="24"/>
      <c r="E15" s="21">
        <f>E14-C15</f>
        <v>1424788381</v>
      </c>
    </row>
    <row r="16" spans="2:5" ht="15.75" x14ac:dyDescent="0.3">
      <c r="B16" s="22">
        <v>45931</v>
      </c>
      <c r="C16" s="24">
        <v>492753794</v>
      </c>
      <c r="D16" s="24"/>
      <c r="E16" s="21">
        <f>E15-C16</f>
        <v>932034587</v>
      </c>
    </row>
    <row r="17" spans="2:5" ht="15.75" x14ac:dyDescent="0.3">
      <c r="B17" s="22">
        <v>45962</v>
      </c>
      <c r="C17" s="24">
        <v>4230783</v>
      </c>
      <c r="D17" s="24"/>
      <c r="E17" s="21">
        <f>E16-C17</f>
        <v>927803804</v>
      </c>
    </row>
    <row r="18" spans="2:5" x14ac:dyDescent="0.25">
      <c r="B18" s="22">
        <v>45992</v>
      </c>
      <c r="C18" s="24">
        <v>416485746</v>
      </c>
      <c r="D18" s="24"/>
      <c r="E18" s="23">
        <f>E17-C18</f>
        <v>511318058</v>
      </c>
    </row>
    <row r="19" spans="2:5" x14ac:dyDescent="0.25">
      <c r="B19" s="22">
        <v>46023</v>
      </c>
      <c r="C19" s="24">
        <v>136808611</v>
      </c>
      <c r="D19" s="24"/>
      <c r="E19" s="23">
        <f>E18-C19</f>
        <v>374509447</v>
      </c>
    </row>
    <row r="20" spans="2:5" x14ac:dyDescent="0.25">
      <c r="B20" s="22"/>
      <c r="C20" s="24"/>
      <c r="D20" s="24"/>
      <c r="E20" s="23"/>
    </row>
  </sheetData>
  <mergeCells count="2">
    <mergeCell ref="C5:D5"/>
    <mergeCell ref="C4:D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233C5F-7FAD-48FE-B730-3B068CDA89B9}">
  <dimension ref="B2"/>
  <sheetViews>
    <sheetView workbookViewId="0">
      <selection activeCell="B3" sqref="B3"/>
    </sheetView>
  </sheetViews>
  <sheetFormatPr defaultRowHeight="15" x14ac:dyDescent="0.25"/>
  <sheetData>
    <row r="2" spans="2:2" x14ac:dyDescent="0.25">
      <c r="B2" t="s">
        <v>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AAD59E-2959-4DCE-A9F4-170A8A6BAD52}">
  <dimension ref="B2"/>
  <sheetViews>
    <sheetView workbookViewId="0">
      <selection activeCell="B3" sqref="B3"/>
    </sheetView>
  </sheetViews>
  <sheetFormatPr defaultRowHeight="15" x14ac:dyDescent="0.25"/>
  <sheetData>
    <row r="2" spans="2:2" x14ac:dyDescent="0.25">
      <c r="B2" t="s">
        <v>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313E8-DC52-4A1C-BCA1-D43CB73D8DF7}">
  <dimension ref="A1:K11"/>
  <sheetViews>
    <sheetView topLeftCell="C1" workbookViewId="0">
      <selection activeCell="D15" sqref="D15"/>
    </sheetView>
  </sheetViews>
  <sheetFormatPr defaultRowHeight="15" x14ac:dyDescent="0.25"/>
  <cols>
    <col min="1" max="1" width="9.140625" style="2"/>
    <col min="2" max="2" width="20.5703125" style="2" customWidth="1"/>
    <col min="3" max="3" width="30.5703125" style="2" bestFit="1" customWidth="1"/>
    <col min="4" max="4" width="25.5703125" style="2" customWidth="1"/>
    <col min="5" max="9" width="18.5703125" style="2" customWidth="1"/>
    <col min="10" max="10" width="18.42578125" style="3" customWidth="1"/>
    <col min="11" max="11" width="20.140625" style="2" bestFit="1" customWidth="1"/>
    <col min="12" max="12" width="14.28515625" style="2" customWidth="1"/>
    <col min="13" max="257" width="9.140625" style="2"/>
    <col min="258" max="258" width="20.5703125" style="2" customWidth="1"/>
    <col min="259" max="259" width="30.5703125" style="2" bestFit="1" customWidth="1"/>
    <col min="260" max="260" width="25.5703125" style="2" customWidth="1"/>
    <col min="261" max="265" width="18.5703125" style="2" customWidth="1"/>
    <col min="266" max="266" width="18.42578125" style="2" customWidth="1"/>
    <col min="267" max="267" width="20.140625" style="2" bestFit="1" customWidth="1"/>
    <col min="268" max="268" width="14.28515625" style="2" customWidth="1"/>
    <col min="269" max="513" width="9.140625" style="2"/>
    <col min="514" max="514" width="20.5703125" style="2" customWidth="1"/>
    <col min="515" max="515" width="30.5703125" style="2" bestFit="1" customWidth="1"/>
    <col min="516" max="516" width="25.5703125" style="2" customWidth="1"/>
    <col min="517" max="521" width="18.5703125" style="2" customWidth="1"/>
    <col min="522" max="522" width="18.42578125" style="2" customWidth="1"/>
    <col min="523" max="523" width="20.140625" style="2" bestFit="1" customWidth="1"/>
    <col min="524" max="524" width="14.28515625" style="2" customWidth="1"/>
    <col min="525" max="769" width="9.140625" style="2"/>
    <col min="770" max="770" width="20.5703125" style="2" customWidth="1"/>
    <col min="771" max="771" width="30.5703125" style="2" bestFit="1" customWidth="1"/>
    <col min="772" max="772" width="25.5703125" style="2" customWidth="1"/>
    <col min="773" max="777" width="18.5703125" style="2" customWidth="1"/>
    <col min="778" max="778" width="18.42578125" style="2" customWidth="1"/>
    <col min="779" max="779" width="20.140625" style="2" bestFit="1" customWidth="1"/>
    <col min="780" max="780" width="14.28515625" style="2" customWidth="1"/>
    <col min="781" max="1025" width="9.140625" style="2"/>
    <col min="1026" max="1026" width="20.5703125" style="2" customWidth="1"/>
    <col min="1027" max="1027" width="30.5703125" style="2" bestFit="1" customWidth="1"/>
    <col min="1028" max="1028" width="25.5703125" style="2" customWidth="1"/>
    <col min="1029" max="1033" width="18.5703125" style="2" customWidth="1"/>
    <col min="1034" max="1034" width="18.42578125" style="2" customWidth="1"/>
    <col min="1035" max="1035" width="20.140625" style="2" bestFit="1" customWidth="1"/>
    <col min="1036" max="1036" width="14.28515625" style="2" customWidth="1"/>
    <col min="1037" max="1281" width="9.140625" style="2"/>
    <col min="1282" max="1282" width="20.5703125" style="2" customWidth="1"/>
    <col min="1283" max="1283" width="30.5703125" style="2" bestFit="1" customWidth="1"/>
    <col min="1284" max="1284" width="25.5703125" style="2" customWidth="1"/>
    <col min="1285" max="1289" width="18.5703125" style="2" customWidth="1"/>
    <col min="1290" max="1290" width="18.42578125" style="2" customWidth="1"/>
    <col min="1291" max="1291" width="20.140625" style="2" bestFit="1" customWidth="1"/>
    <col min="1292" max="1292" width="14.28515625" style="2" customWidth="1"/>
    <col min="1293" max="1537" width="9.140625" style="2"/>
    <col min="1538" max="1538" width="20.5703125" style="2" customWidth="1"/>
    <col min="1539" max="1539" width="30.5703125" style="2" bestFit="1" customWidth="1"/>
    <col min="1540" max="1540" width="25.5703125" style="2" customWidth="1"/>
    <col min="1541" max="1545" width="18.5703125" style="2" customWidth="1"/>
    <col min="1546" max="1546" width="18.42578125" style="2" customWidth="1"/>
    <col min="1547" max="1547" width="20.140625" style="2" bestFit="1" customWidth="1"/>
    <col min="1548" max="1548" width="14.28515625" style="2" customWidth="1"/>
    <col min="1549" max="1793" width="9.140625" style="2"/>
    <col min="1794" max="1794" width="20.5703125" style="2" customWidth="1"/>
    <col min="1795" max="1795" width="30.5703125" style="2" bestFit="1" customWidth="1"/>
    <col min="1796" max="1796" width="25.5703125" style="2" customWidth="1"/>
    <col min="1797" max="1801" width="18.5703125" style="2" customWidth="1"/>
    <col min="1802" max="1802" width="18.42578125" style="2" customWidth="1"/>
    <col min="1803" max="1803" width="20.140625" style="2" bestFit="1" customWidth="1"/>
    <col min="1804" max="1804" width="14.28515625" style="2" customWidth="1"/>
    <col min="1805" max="2049" width="9.140625" style="2"/>
    <col min="2050" max="2050" width="20.5703125" style="2" customWidth="1"/>
    <col min="2051" max="2051" width="30.5703125" style="2" bestFit="1" customWidth="1"/>
    <col min="2052" max="2052" width="25.5703125" style="2" customWidth="1"/>
    <col min="2053" max="2057" width="18.5703125" style="2" customWidth="1"/>
    <col min="2058" max="2058" width="18.42578125" style="2" customWidth="1"/>
    <col min="2059" max="2059" width="20.140625" style="2" bestFit="1" customWidth="1"/>
    <col min="2060" max="2060" width="14.28515625" style="2" customWidth="1"/>
    <col min="2061" max="2305" width="9.140625" style="2"/>
    <col min="2306" max="2306" width="20.5703125" style="2" customWidth="1"/>
    <col min="2307" max="2307" width="30.5703125" style="2" bestFit="1" customWidth="1"/>
    <col min="2308" max="2308" width="25.5703125" style="2" customWidth="1"/>
    <col min="2309" max="2313" width="18.5703125" style="2" customWidth="1"/>
    <col min="2314" max="2314" width="18.42578125" style="2" customWidth="1"/>
    <col min="2315" max="2315" width="20.140625" style="2" bestFit="1" customWidth="1"/>
    <col min="2316" max="2316" width="14.28515625" style="2" customWidth="1"/>
    <col min="2317" max="2561" width="9.140625" style="2"/>
    <col min="2562" max="2562" width="20.5703125" style="2" customWidth="1"/>
    <col min="2563" max="2563" width="30.5703125" style="2" bestFit="1" customWidth="1"/>
    <col min="2564" max="2564" width="25.5703125" style="2" customWidth="1"/>
    <col min="2565" max="2569" width="18.5703125" style="2" customWidth="1"/>
    <col min="2570" max="2570" width="18.42578125" style="2" customWidth="1"/>
    <col min="2571" max="2571" width="20.140625" style="2" bestFit="1" customWidth="1"/>
    <col min="2572" max="2572" width="14.28515625" style="2" customWidth="1"/>
    <col min="2573" max="2817" width="9.140625" style="2"/>
    <col min="2818" max="2818" width="20.5703125" style="2" customWidth="1"/>
    <col min="2819" max="2819" width="30.5703125" style="2" bestFit="1" customWidth="1"/>
    <col min="2820" max="2820" width="25.5703125" style="2" customWidth="1"/>
    <col min="2821" max="2825" width="18.5703125" style="2" customWidth="1"/>
    <col min="2826" max="2826" width="18.42578125" style="2" customWidth="1"/>
    <col min="2827" max="2827" width="20.140625" style="2" bestFit="1" customWidth="1"/>
    <col min="2828" max="2828" width="14.28515625" style="2" customWidth="1"/>
    <col min="2829" max="3073" width="9.140625" style="2"/>
    <col min="3074" max="3074" width="20.5703125" style="2" customWidth="1"/>
    <col min="3075" max="3075" width="30.5703125" style="2" bestFit="1" customWidth="1"/>
    <col min="3076" max="3076" width="25.5703125" style="2" customWidth="1"/>
    <col min="3077" max="3081" width="18.5703125" style="2" customWidth="1"/>
    <col min="3082" max="3082" width="18.42578125" style="2" customWidth="1"/>
    <col min="3083" max="3083" width="20.140625" style="2" bestFit="1" customWidth="1"/>
    <col min="3084" max="3084" width="14.28515625" style="2" customWidth="1"/>
    <col min="3085" max="3329" width="9.140625" style="2"/>
    <col min="3330" max="3330" width="20.5703125" style="2" customWidth="1"/>
    <col min="3331" max="3331" width="30.5703125" style="2" bestFit="1" customWidth="1"/>
    <col min="3332" max="3332" width="25.5703125" style="2" customWidth="1"/>
    <col min="3333" max="3337" width="18.5703125" style="2" customWidth="1"/>
    <col min="3338" max="3338" width="18.42578125" style="2" customWidth="1"/>
    <col min="3339" max="3339" width="20.140625" style="2" bestFit="1" customWidth="1"/>
    <col min="3340" max="3340" width="14.28515625" style="2" customWidth="1"/>
    <col min="3341" max="3585" width="9.140625" style="2"/>
    <col min="3586" max="3586" width="20.5703125" style="2" customWidth="1"/>
    <col min="3587" max="3587" width="30.5703125" style="2" bestFit="1" customWidth="1"/>
    <col min="3588" max="3588" width="25.5703125" style="2" customWidth="1"/>
    <col min="3589" max="3593" width="18.5703125" style="2" customWidth="1"/>
    <col min="3594" max="3594" width="18.42578125" style="2" customWidth="1"/>
    <col min="3595" max="3595" width="20.140625" style="2" bestFit="1" customWidth="1"/>
    <col min="3596" max="3596" width="14.28515625" style="2" customWidth="1"/>
    <col min="3597" max="3841" width="9.140625" style="2"/>
    <col min="3842" max="3842" width="20.5703125" style="2" customWidth="1"/>
    <col min="3843" max="3843" width="30.5703125" style="2" bestFit="1" customWidth="1"/>
    <col min="3844" max="3844" width="25.5703125" style="2" customWidth="1"/>
    <col min="3845" max="3849" width="18.5703125" style="2" customWidth="1"/>
    <col min="3850" max="3850" width="18.42578125" style="2" customWidth="1"/>
    <col min="3851" max="3851" width="20.140625" style="2" bestFit="1" customWidth="1"/>
    <col min="3852" max="3852" width="14.28515625" style="2" customWidth="1"/>
    <col min="3853" max="4097" width="9.140625" style="2"/>
    <col min="4098" max="4098" width="20.5703125" style="2" customWidth="1"/>
    <col min="4099" max="4099" width="30.5703125" style="2" bestFit="1" customWidth="1"/>
    <col min="4100" max="4100" width="25.5703125" style="2" customWidth="1"/>
    <col min="4101" max="4105" width="18.5703125" style="2" customWidth="1"/>
    <col min="4106" max="4106" width="18.42578125" style="2" customWidth="1"/>
    <col min="4107" max="4107" width="20.140625" style="2" bestFit="1" customWidth="1"/>
    <col min="4108" max="4108" width="14.28515625" style="2" customWidth="1"/>
    <col min="4109" max="4353" width="9.140625" style="2"/>
    <col min="4354" max="4354" width="20.5703125" style="2" customWidth="1"/>
    <col min="4355" max="4355" width="30.5703125" style="2" bestFit="1" customWidth="1"/>
    <col min="4356" max="4356" width="25.5703125" style="2" customWidth="1"/>
    <col min="4357" max="4361" width="18.5703125" style="2" customWidth="1"/>
    <col min="4362" max="4362" width="18.42578125" style="2" customWidth="1"/>
    <col min="4363" max="4363" width="20.140625" style="2" bestFit="1" customWidth="1"/>
    <col min="4364" max="4364" width="14.28515625" style="2" customWidth="1"/>
    <col min="4365" max="4609" width="9.140625" style="2"/>
    <col min="4610" max="4610" width="20.5703125" style="2" customWidth="1"/>
    <col min="4611" max="4611" width="30.5703125" style="2" bestFit="1" customWidth="1"/>
    <col min="4612" max="4612" width="25.5703125" style="2" customWidth="1"/>
    <col min="4613" max="4617" width="18.5703125" style="2" customWidth="1"/>
    <col min="4618" max="4618" width="18.42578125" style="2" customWidth="1"/>
    <col min="4619" max="4619" width="20.140625" style="2" bestFit="1" customWidth="1"/>
    <col min="4620" max="4620" width="14.28515625" style="2" customWidth="1"/>
    <col min="4621" max="4865" width="9.140625" style="2"/>
    <col min="4866" max="4866" width="20.5703125" style="2" customWidth="1"/>
    <col min="4867" max="4867" width="30.5703125" style="2" bestFit="1" customWidth="1"/>
    <col min="4868" max="4868" width="25.5703125" style="2" customWidth="1"/>
    <col min="4869" max="4873" width="18.5703125" style="2" customWidth="1"/>
    <col min="4874" max="4874" width="18.42578125" style="2" customWidth="1"/>
    <col min="4875" max="4875" width="20.140625" style="2" bestFit="1" customWidth="1"/>
    <col min="4876" max="4876" width="14.28515625" style="2" customWidth="1"/>
    <col min="4877" max="5121" width="9.140625" style="2"/>
    <col min="5122" max="5122" width="20.5703125" style="2" customWidth="1"/>
    <col min="5123" max="5123" width="30.5703125" style="2" bestFit="1" customWidth="1"/>
    <col min="5124" max="5124" width="25.5703125" style="2" customWidth="1"/>
    <col min="5125" max="5129" width="18.5703125" style="2" customWidth="1"/>
    <col min="5130" max="5130" width="18.42578125" style="2" customWidth="1"/>
    <col min="5131" max="5131" width="20.140625" style="2" bestFit="1" customWidth="1"/>
    <col min="5132" max="5132" width="14.28515625" style="2" customWidth="1"/>
    <col min="5133" max="5377" width="9.140625" style="2"/>
    <col min="5378" max="5378" width="20.5703125" style="2" customWidth="1"/>
    <col min="5379" max="5379" width="30.5703125" style="2" bestFit="1" customWidth="1"/>
    <col min="5380" max="5380" width="25.5703125" style="2" customWidth="1"/>
    <col min="5381" max="5385" width="18.5703125" style="2" customWidth="1"/>
    <col min="5386" max="5386" width="18.42578125" style="2" customWidth="1"/>
    <col min="5387" max="5387" width="20.140625" style="2" bestFit="1" customWidth="1"/>
    <col min="5388" max="5388" width="14.28515625" style="2" customWidth="1"/>
    <col min="5389" max="5633" width="9.140625" style="2"/>
    <col min="5634" max="5634" width="20.5703125" style="2" customWidth="1"/>
    <col min="5635" max="5635" width="30.5703125" style="2" bestFit="1" customWidth="1"/>
    <col min="5636" max="5636" width="25.5703125" style="2" customWidth="1"/>
    <col min="5637" max="5641" width="18.5703125" style="2" customWidth="1"/>
    <col min="5642" max="5642" width="18.42578125" style="2" customWidth="1"/>
    <col min="5643" max="5643" width="20.140625" style="2" bestFit="1" customWidth="1"/>
    <col min="5644" max="5644" width="14.28515625" style="2" customWidth="1"/>
    <col min="5645" max="5889" width="9.140625" style="2"/>
    <col min="5890" max="5890" width="20.5703125" style="2" customWidth="1"/>
    <col min="5891" max="5891" width="30.5703125" style="2" bestFit="1" customWidth="1"/>
    <col min="5892" max="5892" width="25.5703125" style="2" customWidth="1"/>
    <col min="5893" max="5897" width="18.5703125" style="2" customWidth="1"/>
    <col min="5898" max="5898" width="18.42578125" style="2" customWidth="1"/>
    <col min="5899" max="5899" width="20.140625" style="2" bestFit="1" customWidth="1"/>
    <col min="5900" max="5900" width="14.28515625" style="2" customWidth="1"/>
    <col min="5901" max="6145" width="9.140625" style="2"/>
    <col min="6146" max="6146" width="20.5703125" style="2" customWidth="1"/>
    <col min="6147" max="6147" width="30.5703125" style="2" bestFit="1" customWidth="1"/>
    <col min="6148" max="6148" width="25.5703125" style="2" customWidth="1"/>
    <col min="6149" max="6153" width="18.5703125" style="2" customWidth="1"/>
    <col min="6154" max="6154" width="18.42578125" style="2" customWidth="1"/>
    <col min="6155" max="6155" width="20.140625" style="2" bestFit="1" customWidth="1"/>
    <col min="6156" max="6156" width="14.28515625" style="2" customWidth="1"/>
    <col min="6157" max="6401" width="9.140625" style="2"/>
    <col min="6402" max="6402" width="20.5703125" style="2" customWidth="1"/>
    <col min="6403" max="6403" width="30.5703125" style="2" bestFit="1" customWidth="1"/>
    <col min="6404" max="6404" width="25.5703125" style="2" customWidth="1"/>
    <col min="6405" max="6409" width="18.5703125" style="2" customWidth="1"/>
    <col min="6410" max="6410" width="18.42578125" style="2" customWidth="1"/>
    <col min="6411" max="6411" width="20.140625" style="2" bestFit="1" customWidth="1"/>
    <col min="6412" max="6412" width="14.28515625" style="2" customWidth="1"/>
    <col min="6413" max="6657" width="9.140625" style="2"/>
    <col min="6658" max="6658" width="20.5703125" style="2" customWidth="1"/>
    <col min="6659" max="6659" width="30.5703125" style="2" bestFit="1" customWidth="1"/>
    <col min="6660" max="6660" width="25.5703125" style="2" customWidth="1"/>
    <col min="6661" max="6665" width="18.5703125" style="2" customWidth="1"/>
    <col min="6666" max="6666" width="18.42578125" style="2" customWidth="1"/>
    <col min="6667" max="6667" width="20.140625" style="2" bestFit="1" customWidth="1"/>
    <col min="6668" max="6668" width="14.28515625" style="2" customWidth="1"/>
    <col min="6669" max="6913" width="9.140625" style="2"/>
    <col min="6914" max="6914" width="20.5703125" style="2" customWidth="1"/>
    <col min="6915" max="6915" width="30.5703125" style="2" bestFit="1" customWidth="1"/>
    <col min="6916" max="6916" width="25.5703125" style="2" customWidth="1"/>
    <col min="6917" max="6921" width="18.5703125" style="2" customWidth="1"/>
    <col min="6922" max="6922" width="18.42578125" style="2" customWidth="1"/>
    <col min="6923" max="6923" width="20.140625" style="2" bestFit="1" customWidth="1"/>
    <col min="6924" max="6924" width="14.28515625" style="2" customWidth="1"/>
    <col min="6925" max="7169" width="9.140625" style="2"/>
    <col min="7170" max="7170" width="20.5703125" style="2" customWidth="1"/>
    <col min="7171" max="7171" width="30.5703125" style="2" bestFit="1" customWidth="1"/>
    <col min="7172" max="7172" width="25.5703125" style="2" customWidth="1"/>
    <col min="7173" max="7177" width="18.5703125" style="2" customWidth="1"/>
    <col min="7178" max="7178" width="18.42578125" style="2" customWidth="1"/>
    <col min="7179" max="7179" width="20.140625" style="2" bestFit="1" customWidth="1"/>
    <col min="7180" max="7180" width="14.28515625" style="2" customWidth="1"/>
    <col min="7181" max="7425" width="9.140625" style="2"/>
    <col min="7426" max="7426" width="20.5703125" style="2" customWidth="1"/>
    <col min="7427" max="7427" width="30.5703125" style="2" bestFit="1" customWidth="1"/>
    <col min="7428" max="7428" width="25.5703125" style="2" customWidth="1"/>
    <col min="7429" max="7433" width="18.5703125" style="2" customWidth="1"/>
    <col min="7434" max="7434" width="18.42578125" style="2" customWidth="1"/>
    <col min="7435" max="7435" width="20.140625" style="2" bestFit="1" customWidth="1"/>
    <col min="7436" max="7436" width="14.28515625" style="2" customWidth="1"/>
    <col min="7437" max="7681" width="9.140625" style="2"/>
    <col min="7682" max="7682" width="20.5703125" style="2" customWidth="1"/>
    <col min="7683" max="7683" width="30.5703125" style="2" bestFit="1" customWidth="1"/>
    <col min="7684" max="7684" width="25.5703125" style="2" customWidth="1"/>
    <col min="7685" max="7689" width="18.5703125" style="2" customWidth="1"/>
    <col min="7690" max="7690" width="18.42578125" style="2" customWidth="1"/>
    <col min="7691" max="7691" width="20.140625" style="2" bestFit="1" customWidth="1"/>
    <col min="7692" max="7692" width="14.28515625" style="2" customWidth="1"/>
    <col min="7693" max="7937" width="9.140625" style="2"/>
    <col min="7938" max="7938" width="20.5703125" style="2" customWidth="1"/>
    <col min="7939" max="7939" width="30.5703125" style="2" bestFit="1" customWidth="1"/>
    <col min="7940" max="7940" width="25.5703125" style="2" customWidth="1"/>
    <col min="7941" max="7945" width="18.5703125" style="2" customWidth="1"/>
    <col min="7946" max="7946" width="18.42578125" style="2" customWidth="1"/>
    <col min="7947" max="7947" width="20.140625" style="2" bestFit="1" customWidth="1"/>
    <col min="7948" max="7948" width="14.28515625" style="2" customWidth="1"/>
    <col min="7949" max="8193" width="9.140625" style="2"/>
    <col min="8194" max="8194" width="20.5703125" style="2" customWidth="1"/>
    <col min="8195" max="8195" width="30.5703125" style="2" bestFit="1" customWidth="1"/>
    <col min="8196" max="8196" width="25.5703125" style="2" customWidth="1"/>
    <col min="8197" max="8201" width="18.5703125" style="2" customWidth="1"/>
    <col min="8202" max="8202" width="18.42578125" style="2" customWidth="1"/>
    <col min="8203" max="8203" width="20.140625" style="2" bestFit="1" customWidth="1"/>
    <col min="8204" max="8204" width="14.28515625" style="2" customWidth="1"/>
    <col min="8205" max="8449" width="9.140625" style="2"/>
    <col min="8450" max="8450" width="20.5703125" style="2" customWidth="1"/>
    <col min="8451" max="8451" width="30.5703125" style="2" bestFit="1" customWidth="1"/>
    <col min="8452" max="8452" width="25.5703125" style="2" customWidth="1"/>
    <col min="8453" max="8457" width="18.5703125" style="2" customWidth="1"/>
    <col min="8458" max="8458" width="18.42578125" style="2" customWidth="1"/>
    <col min="8459" max="8459" width="20.140625" style="2" bestFit="1" customWidth="1"/>
    <col min="8460" max="8460" width="14.28515625" style="2" customWidth="1"/>
    <col min="8461" max="8705" width="9.140625" style="2"/>
    <col min="8706" max="8706" width="20.5703125" style="2" customWidth="1"/>
    <col min="8707" max="8707" width="30.5703125" style="2" bestFit="1" customWidth="1"/>
    <col min="8708" max="8708" width="25.5703125" style="2" customWidth="1"/>
    <col min="8709" max="8713" width="18.5703125" style="2" customWidth="1"/>
    <col min="8714" max="8714" width="18.42578125" style="2" customWidth="1"/>
    <col min="8715" max="8715" width="20.140625" style="2" bestFit="1" customWidth="1"/>
    <col min="8716" max="8716" width="14.28515625" style="2" customWidth="1"/>
    <col min="8717" max="8961" width="9.140625" style="2"/>
    <col min="8962" max="8962" width="20.5703125" style="2" customWidth="1"/>
    <col min="8963" max="8963" width="30.5703125" style="2" bestFit="1" customWidth="1"/>
    <col min="8964" max="8964" width="25.5703125" style="2" customWidth="1"/>
    <col min="8965" max="8969" width="18.5703125" style="2" customWidth="1"/>
    <col min="8970" max="8970" width="18.42578125" style="2" customWidth="1"/>
    <col min="8971" max="8971" width="20.140625" style="2" bestFit="1" customWidth="1"/>
    <col min="8972" max="8972" width="14.28515625" style="2" customWidth="1"/>
    <col min="8973" max="9217" width="9.140625" style="2"/>
    <col min="9218" max="9218" width="20.5703125" style="2" customWidth="1"/>
    <col min="9219" max="9219" width="30.5703125" style="2" bestFit="1" customWidth="1"/>
    <col min="9220" max="9220" width="25.5703125" style="2" customWidth="1"/>
    <col min="9221" max="9225" width="18.5703125" style="2" customWidth="1"/>
    <col min="9226" max="9226" width="18.42578125" style="2" customWidth="1"/>
    <col min="9227" max="9227" width="20.140625" style="2" bestFit="1" customWidth="1"/>
    <col min="9228" max="9228" width="14.28515625" style="2" customWidth="1"/>
    <col min="9229" max="9473" width="9.140625" style="2"/>
    <col min="9474" max="9474" width="20.5703125" style="2" customWidth="1"/>
    <col min="9475" max="9475" width="30.5703125" style="2" bestFit="1" customWidth="1"/>
    <col min="9476" max="9476" width="25.5703125" style="2" customWidth="1"/>
    <col min="9477" max="9481" width="18.5703125" style="2" customWidth="1"/>
    <col min="9482" max="9482" width="18.42578125" style="2" customWidth="1"/>
    <col min="9483" max="9483" width="20.140625" style="2" bestFit="1" customWidth="1"/>
    <col min="9484" max="9484" width="14.28515625" style="2" customWidth="1"/>
    <col min="9485" max="9729" width="9.140625" style="2"/>
    <col min="9730" max="9730" width="20.5703125" style="2" customWidth="1"/>
    <col min="9731" max="9731" width="30.5703125" style="2" bestFit="1" customWidth="1"/>
    <col min="9732" max="9732" width="25.5703125" style="2" customWidth="1"/>
    <col min="9733" max="9737" width="18.5703125" style="2" customWidth="1"/>
    <col min="9738" max="9738" width="18.42578125" style="2" customWidth="1"/>
    <col min="9739" max="9739" width="20.140625" style="2" bestFit="1" customWidth="1"/>
    <col min="9740" max="9740" width="14.28515625" style="2" customWidth="1"/>
    <col min="9741" max="9985" width="9.140625" style="2"/>
    <col min="9986" max="9986" width="20.5703125" style="2" customWidth="1"/>
    <col min="9987" max="9987" width="30.5703125" style="2" bestFit="1" customWidth="1"/>
    <col min="9988" max="9988" width="25.5703125" style="2" customWidth="1"/>
    <col min="9989" max="9993" width="18.5703125" style="2" customWidth="1"/>
    <col min="9994" max="9994" width="18.42578125" style="2" customWidth="1"/>
    <col min="9995" max="9995" width="20.140625" style="2" bestFit="1" customWidth="1"/>
    <col min="9996" max="9996" width="14.28515625" style="2" customWidth="1"/>
    <col min="9997" max="10241" width="9.140625" style="2"/>
    <col min="10242" max="10242" width="20.5703125" style="2" customWidth="1"/>
    <col min="10243" max="10243" width="30.5703125" style="2" bestFit="1" customWidth="1"/>
    <col min="10244" max="10244" width="25.5703125" style="2" customWidth="1"/>
    <col min="10245" max="10249" width="18.5703125" style="2" customWidth="1"/>
    <col min="10250" max="10250" width="18.42578125" style="2" customWidth="1"/>
    <col min="10251" max="10251" width="20.140625" style="2" bestFit="1" customWidth="1"/>
    <col min="10252" max="10252" width="14.28515625" style="2" customWidth="1"/>
    <col min="10253" max="10497" width="9.140625" style="2"/>
    <col min="10498" max="10498" width="20.5703125" style="2" customWidth="1"/>
    <col min="10499" max="10499" width="30.5703125" style="2" bestFit="1" customWidth="1"/>
    <col min="10500" max="10500" width="25.5703125" style="2" customWidth="1"/>
    <col min="10501" max="10505" width="18.5703125" style="2" customWidth="1"/>
    <col min="10506" max="10506" width="18.42578125" style="2" customWidth="1"/>
    <col min="10507" max="10507" width="20.140625" style="2" bestFit="1" customWidth="1"/>
    <col min="10508" max="10508" width="14.28515625" style="2" customWidth="1"/>
    <col min="10509" max="10753" width="9.140625" style="2"/>
    <col min="10754" max="10754" width="20.5703125" style="2" customWidth="1"/>
    <col min="10755" max="10755" width="30.5703125" style="2" bestFit="1" customWidth="1"/>
    <col min="10756" max="10756" width="25.5703125" style="2" customWidth="1"/>
    <col min="10757" max="10761" width="18.5703125" style="2" customWidth="1"/>
    <col min="10762" max="10762" width="18.42578125" style="2" customWidth="1"/>
    <col min="10763" max="10763" width="20.140625" style="2" bestFit="1" customWidth="1"/>
    <col min="10764" max="10764" width="14.28515625" style="2" customWidth="1"/>
    <col min="10765" max="11009" width="9.140625" style="2"/>
    <col min="11010" max="11010" width="20.5703125" style="2" customWidth="1"/>
    <col min="11011" max="11011" width="30.5703125" style="2" bestFit="1" customWidth="1"/>
    <col min="11012" max="11012" width="25.5703125" style="2" customWidth="1"/>
    <col min="11013" max="11017" width="18.5703125" style="2" customWidth="1"/>
    <col min="11018" max="11018" width="18.42578125" style="2" customWidth="1"/>
    <col min="11019" max="11019" width="20.140625" style="2" bestFit="1" customWidth="1"/>
    <col min="11020" max="11020" width="14.28515625" style="2" customWidth="1"/>
    <col min="11021" max="11265" width="9.140625" style="2"/>
    <col min="11266" max="11266" width="20.5703125" style="2" customWidth="1"/>
    <col min="11267" max="11267" width="30.5703125" style="2" bestFit="1" customWidth="1"/>
    <col min="11268" max="11268" width="25.5703125" style="2" customWidth="1"/>
    <col min="11269" max="11273" width="18.5703125" style="2" customWidth="1"/>
    <col min="11274" max="11274" width="18.42578125" style="2" customWidth="1"/>
    <col min="11275" max="11275" width="20.140625" style="2" bestFit="1" customWidth="1"/>
    <col min="11276" max="11276" width="14.28515625" style="2" customWidth="1"/>
    <col min="11277" max="11521" width="9.140625" style="2"/>
    <col min="11522" max="11522" width="20.5703125" style="2" customWidth="1"/>
    <col min="11523" max="11523" width="30.5703125" style="2" bestFit="1" customWidth="1"/>
    <col min="11524" max="11524" width="25.5703125" style="2" customWidth="1"/>
    <col min="11525" max="11529" width="18.5703125" style="2" customWidth="1"/>
    <col min="11530" max="11530" width="18.42578125" style="2" customWidth="1"/>
    <col min="11531" max="11531" width="20.140625" style="2" bestFit="1" customWidth="1"/>
    <col min="11532" max="11532" width="14.28515625" style="2" customWidth="1"/>
    <col min="11533" max="11777" width="9.140625" style="2"/>
    <col min="11778" max="11778" width="20.5703125" style="2" customWidth="1"/>
    <col min="11779" max="11779" width="30.5703125" style="2" bestFit="1" customWidth="1"/>
    <col min="11780" max="11780" width="25.5703125" style="2" customWidth="1"/>
    <col min="11781" max="11785" width="18.5703125" style="2" customWidth="1"/>
    <col min="11786" max="11786" width="18.42578125" style="2" customWidth="1"/>
    <col min="11787" max="11787" width="20.140625" style="2" bestFit="1" customWidth="1"/>
    <col min="11788" max="11788" width="14.28515625" style="2" customWidth="1"/>
    <col min="11789" max="12033" width="9.140625" style="2"/>
    <col min="12034" max="12034" width="20.5703125" style="2" customWidth="1"/>
    <col min="12035" max="12035" width="30.5703125" style="2" bestFit="1" customWidth="1"/>
    <col min="12036" max="12036" width="25.5703125" style="2" customWidth="1"/>
    <col min="12037" max="12041" width="18.5703125" style="2" customWidth="1"/>
    <col min="12042" max="12042" width="18.42578125" style="2" customWidth="1"/>
    <col min="12043" max="12043" width="20.140625" style="2" bestFit="1" customWidth="1"/>
    <col min="12044" max="12044" width="14.28515625" style="2" customWidth="1"/>
    <col min="12045" max="12289" width="9.140625" style="2"/>
    <col min="12290" max="12290" width="20.5703125" style="2" customWidth="1"/>
    <col min="12291" max="12291" width="30.5703125" style="2" bestFit="1" customWidth="1"/>
    <col min="12292" max="12292" width="25.5703125" style="2" customWidth="1"/>
    <col min="12293" max="12297" width="18.5703125" style="2" customWidth="1"/>
    <col min="12298" max="12298" width="18.42578125" style="2" customWidth="1"/>
    <col min="12299" max="12299" width="20.140625" style="2" bestFit="1" customWidth="1"/>
    <col min="12300" max="12300" width="14.28515625" style="2" customWidth="1"/>
    <col min="12301" max="12545" width="9.140625" style="2"/>
    <col min="12546" max="12546" width="20.5703125" style="2" customWidth="1"/>
    <col min="12547" max="12547" width="30.5703125" style="2" bestFit="1" customWidth="1"/>
    <col min="12548" max="12548" width="25.5703125" style="2" customWidth="1"/>
    <col min="12549" max="12553" width="18.5703125" style="2" customWidth="1"/>
    <col min="12554" max="12554" width="18.42578125" style="2" customWidth="1"/>
    <col min="12555" max="12555" width="20.140625" style="2" bestFit="1" customWidth="1"/>
    <col min="12556" max="12556" width="14.28515625" style="2" customWidth="1"/>
    <col min="12557" max="12801" width="9.140625" style="2"/>
    <col min="12802" max="12802" width="20.5703125" style="2" customWidth="1"/>
    <col min="12803" max="12803" width="30.5703125" style="2" bestFit="1" customWidth="1"/>
    <col min="12804" max="12804" width="25.5703125" style="2" customWidth="1"/>
    <col min="12805" max="12809" width="18.5703125" style="2" customWidth="1"/>
    <col min="12810" max="12810" width="18.42578125" style="2" customWidth="1"/>
    <col min="12811" max="12811" width="20.140625" style="2" bestFit="1" customWidth="1"/>
    <col min="12812" max="12812" width="14.28515625" style="2" customWidth="1"/>
    <col min="12813" max="13057" width="9.140625" style="2"/>
    <col min="13058" max="13058" width="20.5703125" style="2" customWidth="1"/>
    <col min="13059" max="13059" width="30.5703125" style="2" bestFit="1" customWidth="1"/>
    <col min="13060" max="13060" width="25.5703125" style="2" customWidth="1"/>
    <col min="13061" max="13065" width="18.5703125" style="2" customWidth="1"/>
    <col min="13066" max="13066" width="18.42578125" style="2" customWidth="1"/>
    <col min="13067" max="13067" width="20.140625" style="2" bestFit="1" customWidth="1"/>
    <col min="13068" max="13068" width="14.28515625" style="2" customWidth="1"/>
    <col min="13069" max="13313" width="9.140625" style="2"/>
    <col min="13314" max="13314" width="20.5703125" style="2" customWidth="1"/>
    <col min="13315" max="13315" width="30.5703125" style="2" bestFit="1" customWidth="1"/>
    <col min="13316" max="13316" width="25.5703125" style="2" customWidth="1"/>
    <col min="13317" max="13321" width="18.5703125" style="2" customWidth="1"/>
    <col min="13322" max="13322" width="18.42578125" style="2" customWidth="1"/>
    <col min="13323" max="13323" width="20.140625" style="2" bestFit="1" customWidth="1"/>
    <col min="13324" max="13324" width="14.28515625" style="2" customWidth="1"/>
    <col min="13325" max="13569" width="9.140625" style="2"/>
    <col min="13570" max="13570" width="20.5703125" style="2" customWidth="1"/>
    <col min="13571" max="13571" width="30.5703125" style="2" bestFit="1" customWidth="1"/>
    <col min="13572" max="13572" width="25.5703125" style="2" customWidth="1"/>
    <col min="13573" max="13577" width="18.5703125" style="2" customWidth="1"/>
    <col min="13578" max="13578" width="18.42578125" style="2" customWidth="1"/>
    <col min="13579" max="13579" width="20.140625" style="2" bestFit="1" customWidth="1"/>
    <col min="13580" max="13580" width="14.28515625" style="2" customWidth="1"/>
    <col min="13581" max="13825" width="9.140625" style="2"/>
    <col min="13826" max="13826" width="20.5703125" style="2" customWidth="1"/>
    <col min="13827" max="13827" width="30.5703125" style="2" bestFit="1" customWidth="1"/>
    <col min="13828" max="13828" width="25.5703125" style="2" customWidth="1"/>
    <col min="13829" max="13833" width="18.5703125" style="2" customWidth="1"/>
    <col min="13834" max="13834" width="18.42578125" style="2" customWidth="1"/>
    <col min="13835" max="13835" width="20.140625" style="2" bestFit="1" customWidth="1"/>
    <col min="13836" max="13836" width="14.28515625" style="2" customWidth="1"/>
    <col min="13837" max="14081" width="9.140625" style="2"/>
    <col min="14082" max="14082" width="20.5703125" style="2" customWidth="1"/>
    <col min="14083" max="14083" width="30.5703125" style="2" bestFit="1" customWidth="1"/>
    <col min="14084" max="14084" width="25.5703125" style="2" customWidth="1"/>
    <col min="14085" max="14089" width="18.5703125" style="2" customWidth="1"/>
    <col min="14090" max="14090" width="18.42578125" style="2" customWidth="1"/>
    <col min="14091" max="14091" width="20.140625" style="2" bestFit="1" customWidth="1"/>
    <col min="14092" max="14092" width="14.28515625" style="2" customWidth="1"/>
    <col min="14093" max="14337" width="9.140625" style="2"/>
    <col min="14338" max="14338" width="20.5703125" style="2" customWidth="1"/>
    <col min="14339" max="14339" width="30.5703125" style="2" bestFit="1" customWidth="1"/>
    <col min="14340" max="14340" width="25.5703125" style="2" customWidth="1"/>
    <col min="14341" max="14345" width="18.5703125" style="2" customWidth="1"/>
    <col min="14346" max="14346" width="18.42578125" style="2" customWidth="1"/>
    <col min="14347" max="14347" width="20.140625" style="2" bestFit="1" customWidth="1"/>
    <col min="14348" max="14348" width="14.28515625" style="2" customWidth="1"/>
    <col min="14349" max="14593" width="9.140625" style="2"/>
    <col min="14594" max="14594" width="20.5703125" style="2" customWidth="1"/>
    <col min="14595" max="14595" width="30.5703125" style="2" bestFit="1" customWidth="1"/>
    <col min="14596" max="14596" width="25.5703125" style="2" customWidth="1"/>
    <col min="14597" max="14601" width="18.5703125" style="2" customWidth="1"/>
    <col min="14602" max="14602" width="18.42578125" style="2" customWidth="1"/>
    <col min="14603" max="14603" width="20.140625" style="2" bestFit="1" customWidth="1"/>
    <col min="14604" max="14604" width="14.28515625" style="2" customWidth="1"/>
    <col min="14605" max="14849" width="9.140625" style="2"/>
    <col min="14850" max="14850" width="20.5703125" style="2" customWidth="1"/>
    <col min="14851" max="14851" width="30.5703125" style="2" bestFit="1" customWidth="1"/>
    <col min="14852" max="14852" width="25.5703125" style="2" customWidth="1"/>
    <col min="14853" max="14857" width="18.5703125" style="2" customWidth="1"/>
    <col min="14858" max="14858" width="18.42578125" style="2" customWidth="1"/>
    <col min="14859" max="14859" width="20.140625" style="2" bestFit="1" customWidth="1"/>
    <col min="14860" max="14860" width="14.28515625" style="2" customWidth="1"/>
    <col min="14861" max="15105" width="9.140625" style="2"/>
    <col min="15106" max="15106" width="20.5703125" style="2" customWidth="1"/>
    <col min="15107" max="15107" width="30.5703125" style="2" bestFit="1" customWidth="1"/>
    <col min="15108" max="15108" width="25.5703125" style="2" customWidth="1"/>
    <col min="15109" max="15113" width="18.5703125" style="2" customWidth="1"/>
    <col min="15114" max="15114" width="18.42578125" style="2" customWidth="1"/>
    <col min="15115" max="15115" width="20.140625" style="2" bestFit="1" customWidth="1"/>
    <col min="15116" max="15116" width="14.28515625" style="2" customWidth="1"/>
    <col min="15117" max="15361" width="9.140625" style="2"/>
    <col min="15362" max="15362" width="20.5703125" style="2" customWidth="1"/>
    <col min="15363" max="15363" width="30.5703125" style="2" bestFit="1" customWidth="1"/>
    <col min="15364" max="15364" width="25.5703125" style="2" customWidth="1"/>
    <col min="15365" max="15369" width="18.5703125" style="2" customWidth="1"/>
    <col min="15370" max="15370" width="18.42578125" style="2" customWidth="1"/>
    <col min="15371" max="15371" width="20.140625" style="2" bestFit="1" customWidth="1"/>
    <col min="15372" max="15372" width="14.28515625" style="2" customWidth="1"/>
    <col min="15373" max="15617" width="9.140625" style="2"/>
    <col min="15618" max="15618" width="20.5703125" style="2" customWidth="1"/>
    <col min="15619" max="15619" width="30.5703125" style="2" bestFit="1" customWidth="1"/>
    <col min="15620" max="15620" width="25.5703125" style="2" customWidth="1"/>
    <col min="15621" max="15625" width="18.5703125" style="2" customWidth="1"/>
    <col min="15626" max="15626" width="18.42578125" style="2" customWidth="1"/>
    <col min="15627" max="15627" width="20.140625" style="2" bestFit="1" customWidth="1"/>
    <col min="15628" max="15628" width="14.28515625" style="2" customWidth="1"/>
    <col min="15629" max="15873" width="9.140625" style="2"/>
    <col min="15874" max="15874" width="20.5703125" style="2" customWidth="1"/>
    <col min="15875" max="15875" width="30.5703125" style="2" bestFit="1" customWidth="1"/>
    <col min="15876" max="15876" width="25.5703125" style="2" customWidth="1"/>
    <col min="15877" max="15881" width="18.5703125" style="2" customWidth="1"/>
    <col min="15882" max="15882" width="18.42578125" style="2" customWidth="1"/>
    <col min="15883" max="15883" width="20.140625" style="2" bestFit="1" customWidth="1"/>
    <col min="15884" max="15884" width="14.28515625" style="2" customWidth="1"/>
    <col min="15885" max="16129" width="9.140625" style="2"/>
    <col min="16130" max="16130" width="20.5703125" style="2" customWidth="1"/>
    <col min="16131" max="16131" width="30.5703125" style="2" bestFit="1" customWidth="1"/>
    <col min="16132" max="16132" width="25.5703125" style="2" customWidth="1"/>
    <col min="16133" max="16137" width="18.5703125" style="2" customWidth="1"/>
    <col min="16138" max="16138" width="18.42578125" style="2" customWidth="1"/>
    <col min="16139" max="16139" width="20.140625" style="2" bestFit="1" customWidth="1"/>
    <col min="16140" max="16140" width="14.28515625" style="2" customWidth="1"/>
    <col min="16141" max="16384" width="9.140625" style="2"/>
  </cols>
  <sheetData>
    <row r="1" spans="1:11" x14ac:dyDescent="0.25">
      <c r="A1" s="27" t="s">
        <v>0</v>
      </c>
      <c r="B1" s="28"/>
      <c r="C1" s="29"/>
    </row>
    <row r="2" spans="1:11" ht="45" x14ac:dyDescent="0.25">
      <c r="A2" s="4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4" t="s">
        <v>7</v>
      </c>
      <c r="H2" s="4" t="s">
        <v>8</v>
      </c>
      <c r="I2" s="4" t="s">
        <v>9</v>
      </c>
      <c r="J2" s="6" t="s">
        <v>10</v>
      </c>
    </row>
    <row r="3" spans="1:11" x14ac:dyDescent="0.25">
      <c r="A3" s="2">
        <v>1</v>
      </c>
      <c r="B3" s="2" t="s">
        <v>11</v>
      </c>
      <c r="C3" s="2" t="s">
        <v>11</v>
      </c>
      <c r="D3" s="7" t="s">
        <v>12</v>
      </c>
      <c r="E3" s="2" t="s">
        <v>13</v>
      </c>
      <c r="F3" s="2" t="s">
        <v>14</v>
      </c>
      <c r="G3" s="2" t="s">
        <v>15</v>
      </c>
      <c r="H3" s="8">
        <v>45820</v>
      </c>
      <c r="I3" s="8">
        <v>45820</v>
      </c>
      <c r="J3" s="3">
        <v>7860480</v>
      </c>
    </row>
    <row r="4" spans="1:11" x14ac:dyDescent="0.25">
      <c r="A4" s="2">
        <v>2</v>
      </c>
      <c r="B4" s="2" t="s">
        <v>11</v>
      </c>
      <c r="C4" s="2" t="s">
        <v>11</v>
      </c>
      <c r="D4" s="7" t="s">
        <v>12</v>
      </c>
      <c r="E4" s="2" t="s">
        <v>13</v>
      </c>
      <c r="F4" s="2" t="s">
        <v>14</v>
      </c>
      <c r="G4" s="2" t="s">
        <v>16</v>
      </c>
      <c r="H4" s="8">
        <v>45820</v>
      </c>
      <c r="I4" s="8">
        <v>45820</v>
      </c>
      <c r="J4" s="3">
        <v>7860480</v>
      </c>
    </row>
    <row r="5" spans="1:11" x14ac:dyDescent="0.25">
      <c r="A5" s="2">
        <v>3</v>
      </c>
      <c r="B5" s="2" t="s">
        <v>11</v>
      </c>
      <c r="C5" s="2" t="s">
        <v>11</v>
      </c>
      <c r="D5" s="7" t="s">
        <v>12</v>
      </c>
      <c r="E5" s="2" t="s">
        <v>13</v>
      </c>
      <c r="F5" s="2" t="s">
        <v>14</v>
      </c>
      <c r="G5" s="2" t="s">
        <v>17</v>
      </c>
      <c r="H5" s="8">
        <v>45831</v>
      </c>
      <c r="I5" s="8">
        <v>45831</v>
      </c>
      <c r="J5" s="3">
        <v>16514950</v>
      </c>
    </row>
    <row r="6" spans="1:11" x14ac:dyDescent="0.25">
      <c r="A6" s="2">
        <v>4</v>
      </c>
      <c r="B6" s="2" t="s">
        <v>11</v>
      </c>
      <c r="C6" s="2" t="s">
        <v>11</v>
      </c>
      <c r="D6" s="7" t="s">
        <v>12</v>
      </c>
      <c r="E6" s="2" t="s">
        <v>13</v>
      </c>
      <c r="F6" s="2" t="s">
        <v>14</v>
      </c>
      <c r="G6" s="2" t="s">
        <v>18</v>
      </c>
      <c r="H6" s="8">
        <v>45831</v>
      </c>
      <c r="I6" s="8">
        <v>45831</v>
      </c>
      <c r="J6" s="3">
        <v>16515770</v>
      </c>
    </row>
    <row r="7" spans="1:11" x14ac:dyDescent="0.25">
      <c r="A7" s="2">
        <v>5</v>
      </c>
      <c r="B7" s="2" t="s">
        <v>11</v>
      </c>
      <c r="C7" s="2" t="s">
        <v>11</v>
      </c>
      <c r="D7" s="7" t="s">
        <v>12</v>
      </c>
      <c r="E7" s="2" t="s">
        <v>13</v>
      </c>
      <c r="F7" s="2" t="s">
        <v>14</v>
      </c>
      <c r="G7" s="2" t="s">
        <v>19</v>
      </c>
      <c r="H7" s="8">
        <v>45831</v>
      </c>
      <c r="I7" s="8">
        <v>45831</v>
      </c>
      <c r="J7" s="3">
        <v>16218800</v>
      </c>
    </row>
    <row r="8" spans="1:11" x14ac:dyDescent="0.25">
      <c r="A8" s="2">
        <v>6</v>
      </c>
      <c r="B8" s="2" t="s">
        <v>11</v>
      </c>
      <c r="C8" s="2" t="s">
        <v>11</v>
      </c>
      <c r="D8" s="7" t="s">
        <v>12</v>
      </c>
      <c r="E8" s="2" t="s">
        <v>13</v>
      </c>
      <c r="F8" s="2" t="s">
        <v>14</v>
      </c>
      <c r="G8" s="2" t="s">
        <v>20</v>
      </c>
      <c r="H8" s="8">
        <v>45831</v>
      </c>
      <c r="I8" s="8">
        <v>45831</v>
      </c>
      <c r="J8" s="3">
        <v>10460194</v>
      </c>
    </row>
    <row r="9" spans="1:11" ht="15.75" thickBot="1" x14ac:dyDescent="0.3">
      <c r="A9" s="2">
        <v>7</v>
      </c>
      <c r="B9" s="2" t="s">
        <v>11</v>
      </c>
      <c r="C9" s="2" t="s">
        <v>11</v>
      </c>
      <c r="D9" s="7" t="s">
        <v>12</v>
      </c>
      <c r="E9" s="2" t="s">
        <v>13</v>
      </c>
      <c r="F9" s="2" t="s">
        <v>14</v>
      </c>
      <c r="G9" s="2" t="s">
        <v>21</v>
      </c>
      <c r="H9" s="8">
        <v>45835</v>
      </c>
      <c r="I9" s="8">
        <v>45835</v>
      </c>
      <c r="J9" s="9">
        <v>1569826</v>
      </c>
    </row>
    <row r="10" spans="1:11" ht="15.75" thickBot="1" x14ac:dyDescent="0.3">
      <c r="A10" s="30" t="s">
        <v>22</v>
      </c>
      <c r="B10" s="31"/>
      <c r="C10" s="31"/>
      <c r="D10" s="31"/>
      <c r="E10" s="31"/>
      <c r="F10" s="31"/>
      <c r="G10" s="31"/>
      <c r="H10" s="31"/>
      <c r="I10" s="31"/>
      <c r="J10" s="10">
        <f>SUM(J3:J9)</f>
        <v>77000500</v>
      </c>
      <c r="K10" s="1"/>
    </row>
    <row r="11" spans="1:11" x14ac:dyDescent="0.25">
      <c r="J11" s="11"/>
    </row>
  </sheetData>
  <mergeCells count="2">
    <mergeCell ref="A1:C1"/>
    <mergeCell ref="A10:I10"/>
  </mergeCells>
  <pageMargins left="0.7" right="0.7" top="0.75" bottom="0.75" header="0.3" footer="0.3"/>
  <pageSetup orientation="portrait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April'25</vt:lpstr>
      <vt:lpstr>May'25</vt:lpstr>
      <vt:lpstr>June'25</vt:lpstr>
    </vt:vector>
  </TitlesOfParts>
  <Company>Arthur J. Gallagher &amp; Co.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Aanchal Dua</dc:creator>
  <cp:lastModifiedBy>Suhas Gundecha</cp:lastModifiedBy>
  <dcterms:created xsi:type="dcterms:W3CDTF">2025-07-16T09:06:31Z</dcterms:created>
  <dcterms:modified xsi:type="dcterms:W3CDTF">2026-02-04T06:17:11Z</dcterms:modified>
</cp:coreProperties>
</file>